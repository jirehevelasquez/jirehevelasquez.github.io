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slo.sharepoint.com/sites/TeamTijuana/Shared Documents/Documentation/Phase 7, Verification/"/>
    </mc:Choice>
  </mc:AlternateContent>
  <xr:revisionPtr revIDLastSave="187" documentId="11_E193C1BC7F72729C81B074BD12F9F7A6728651CC" xr6:coauthVersionLast="47" xr6:coauthVersionMax="47" xr10:uidLastSave="{61CAE017-A6E9-4B99-B61A-28EA1D516030}"/>
  <bookViews>
    <workbookView xWindow="-108" yWindow="-108" windowWidth="23256" windowHeight="13896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J8" i="1"/>
  <c r="K8" i="1"/>
  <c r="F8" i="1"/>
  <c r="E8" i="1"/>
  <c r="F6" i="1"/>
  <c r="L7" i="1"/>
  <c r="F7" i="1"/>
  <c r="L6" i="1"/>
  <c r="E6" i="1"/>
  <c r="J7" i="1"/>
  <c r="D7" i="1"/>
  <c r="J6" i="1"/>
  <c r="D6" i="1"/>
  <c r="K7" i="1"/>
  <c r="E7" i="1"/>
  <c r="K6" i="1"/>
  <c r="D8" i="1"/>
</calcChain>
</file>

<file path=xl/sharedStrings.xml><?xml version="1.0" encoding="utf-8"?>
<sst xmlns="http://schemas.openxmlformats.org/spreadsheetml/2006/main" count="44" uniqueCount="27">
  <si>
    <t>Free-Free Testing</t>
  </si>
  <si>
    <t>First Mode</t>
  </si>
  <si>
    <t>Second Mode</t>
  </si>
  <si>
    <t>Natural Frequency [kHz]</t>
  </si>
  <si>
    <t>Test #</t>
  </si>
  <si>
    <t>Config 1</t>
  </si>
  <si>
    <t>Config 2</t>
  </si>
  <si>
    <t>Welded</t>
  </si>
  <si>
    <t>Measurement Type</t>
  </si>
  <si>
    <t>Stationary</t>
  </si>
  <si>
    <t>Roving Hammer</t>
  </si>
  <si>
    <t>Roving Accel.</t>
  </si>
  <si>
    <t>Stationary:</t>
  </si>
  <si>
    <t>Hammer: 2; Accelerometer: 3</t>
  </si>
  <si>
    <t>Roving Hammer:</t>
  </si>
  <si>
    <t>Hammer: 1-&gt;2-&gt;3;  Acclerometer: 3</t>
  </si>
  <si>
    <t>Roving Accelerometer:</t>
  </si>
  <si>
    <t>Accelerometer: 1-&gt;2-&gt;3; Hammer: 1</t>
  </si>
  <si>
    <t>Mode 6 (hz)</t>
  </si>
  <si>
    <t>Ansys Results</t>
  </si>
  <si>
    <t>Configuration</t>
  </si>
  <si>
    <t>Mode 7 (hz)</t>
  </si>
  <si>
    <t>Mode 8 (hz)</t>
  </si>
  <si>
    <t>Mode 9 (hz)</t>
  </si>
  <si>
    <t>Experimental Results</t>
  </si>
  <si>
    <t>[-]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</si>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</sst>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workbookViewId="0">
      <selection activeCell="G33" sqref="G33"/>
    </sheetView>
  </sheetViews>
  <sheetFormatPr defaultRowHeight="14.4" x14ac:dyDescent="0.3"/>
  <cols>
    <col min="1" max="1" width="10.44140625" bestFit="1" customWidth="1"/>
    <col min="2" max="2" width="11.44140625" customWidth="1"/>
    <col min="4" max="5" width="16.33203125" customWidth="1"/>
    <col min="6" max="6" width="15.33203125" customWidth="1"/>
    <col min="7" max="7" width="17.5546875" customWidth="1"/>
    <col min="10" max="10" width="14.33203125" customWidth="1"/>
    <col min="11" max="11" width="14" customWidth="1"/>
    <col min="12" max="12" width="15.109375" customWidth="1"/>
    <col min="13" max="13" width="19" customWidth="1"/>
  </cols>
  <sheetData>
    <row r="2" spans="1:13" ht="14.4" customHeight="1" x14ac:dyDescent="0.3">
      <c r="A2" t="s">
        <v>0</v>
      </c>
      <c r="C2" s="12" t="s">
        <v>1</v>
      </c>
      <c r="D2" s="13"/>
      <c r="E2" s="13"/>
      <c r="F2" s="13"/>
      <c r="G2" s="14"/>
      <c r="I2" s="12" t="s">
        <v>2</v>
      </c>
      <c r="J2" s="13"/>
      <c r="K2" s="13"/>
      <c r="L2" s="13"/>
      <c r="M2" s="14"/>
    </row>
    <row r="3" spans="1:13" x14ac:dyDescent="0.3">
      <c r="A3" s="1">
        <v>46161</v>
      </c>
      <c r="C3" s="12" t="s">
        <v>3</v>
      </c>
      <c r="D3" s="13"/>
      <c r="E3" s="13"/>
      <c r="F3" s="13"/>
      <c r="G3" s="14"/>
      <c r="I3" s="12" t="s">
        <v>3</v>
      </c>
      <c r="J3" s="13"/>
      <c r="K3" s="13"/>
      <c r="L3" s="13"/>
      <c r="M3" s="14"/>
    </row>
    <row r="4" spans="1:13" x14ac:dyDescent="0.3"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8</v>
      </c>
    </row>
    <row r="5" spans="1:13" x14ac:dyDescent="0.3">
      <c r="C5" s="4">
        <v>1</v>
      </c>
      <c r="D5" s="5">
        <v>4.3840000000000003</v>
      </c>
      <c r="E5" s="5">
        <v>4.6079999999999997</v>
      </c>
      <c r="F5" s="5">
        <v>4.88</v>
      </c>
      <c r="G5" s="4" t="s">
        <v>9</v>
      </c>
      <c r="I5" s="4">
        <v>1</v>
      </c>
      <c r="J5" s="5">
        <v>5.8879999999999999</v>
      </c>
      <c r="K5" s="5" t="s">
        <v>26</v>
      </c>
      <c r="L5" s="5">
        <v>8.016</v>
      </c>
      <c r="M5" s="4" t="s">
        <v>9</v>
      </c>
    </row>
    <row r="6" spans="1:13" x14ac:dyDescent="0.3">
      <c r="C6" s="4">
        <v>2</v>
      </c>
      <c r="D6" s="5">
        <f>(4.048+4.336+4.356)/3</f>
        <v>4.246666666666667</v>
      </c>
      <c r="E6" s="5">
        <f>(4.512+4.496+4.496)/3</f>
        <v>4.5013333333333332</v>
      </c>
      <c r="F6" s="5">
        <f>(4.88+4.464+4.464)/3</f>
        <v>4.6026666666666669</v>
      </c>
      <c r="G6" s="4" t="s">
        <v>10</v>
      </c>
      <c r="I6" s="4">
        <v>2</v>
      </c>
      <c r="J6" s="5">
        <f>(5.376+5.376+5.424)/3</f>
        <v>5.3920000000000003</v>
      </c>
      <c r="K6" s="5">
        <f>(5.886+5.92+6)/3</f>
        <v>5.9353333333333333</v>
      </c>
      <c r="L6" s="5">
        <f>(L5+8.04+8.043)/3</f>
        <v>8.0329999999999995</v>
      </c>
      <c r="M6" s="4" t="s">
        <v>10</v>
      </c>
    </row>
    <row r="7" spans="1:13" x14ac:dyDescent="0.3">
      <c r="C7" s="4">
        <v>3</v>
      </c>
      <c r="D7" s="5">
        <f>(4.048+4.736+4.88)/3</f>
        <v>4.554666666666666</v>
      </c>
      <c r="E7" s="5">
        <f>(4.496+4.512+4.32)/3</f>
        <v>4.4426666666666668</v>
      </c>
      <c r="F7" s="5">
        <f>(F5+4.88+4.4)/3</f>
        <v>4.72</v>
      </c>
      <c r="G7" s="4" t="s">
        <v>11</v>
      </c>
      <c r="I7" s="4">
        <v>3</v>
      </c>
      <c r="J7" s="5">
        <f>(5.376+5.36+5.312)/3</f>
        <v>5.3493333333333339</v>
      </c>
      <c r="K7" s="5">
        <f>(5.888+5.904+5.84)/3</f>
        <v>5.8773333333333326</v>
      </c>
      <c r="L7" s="5">
        <f>(L5+7.856+7.92)/3</f>
        <v>7.9306666666666672</v>
      </c>
      <c r="M7" s="4" t="s">
        <v>11</v>
      </c>
    </row>
    <row r="8" spans="1:13" x14ac:dyDescent="0.3">
      <c r="C8" s="2"/>
      <c r="D8" s="3">
        <f ca="1">AVERAGE(D5:D8)</f>
        <v>4.3951111111111105</v>
      </c>
      <c r="E8" s="3">
        <f>AVERAGE(E5:E7)</f>
        <v>4.5173333333333332</v>
      </c>
      <c r="F8" s="2">
        <f>AVERAGE(F5:F7)</f>
        <v>4.7342222222222219</v>
      </c>
      <c r="G8" s="2"/>
      <c r="I8" s="2"/>
      <c r="J8" s="3">
        <f>AVERAGE(J5:J7)</f>
        <v>5.543111111111112</v>
      </c>
      <c r="K8" s="3">
        <f>AVERAGE(K5:K7)</f>
        <v>5.9063333333333325</v>
      </c>
      <c r="L8">
        <f>AVERAGE(L5:L7)</f>
        <v>7.9932222222222222</v>
      </c>
      <c r="M8" s="2"/>
    </row>
    <row r="9" spans="1:13" x14ac:dyDescent="0.3">
      <c r="C9" s="2"/>
      <c r="E9" s="3"/>
      <c r="F9" s="2"/>
      <c r="I9" s="2"/>
      <c r="J9" s="2"/>
      <c r="K9" s="2"/>
      <c r="L9" s="2"/>
    </row>
    <row r="10" spans="1:13" x14ac:dyDescent="0.3">
      <c r="C10" s="2"/>
      <c r="D10" s="3"/>
      <c r="E10" s="3"/>
      <c r="F10" s="2"/>
      <c r="I10" s="2"/>
      <c r="J10" s="2"/>
      <c r="K10" s="2"/>
      <c r="L10" s="2"/>
    </row>
    <row r="11" spans="1:13" x14ac:dyDescent="0.3">
      <c r="C11" s="2"/>
      <c r="D11" s="2"/>
      <c r="E11" s="2"/>
    </row>
    <row r="12" spans="1:13" x14ac:dyDescent="0.3">
      <c r="C12" s="2"/>
      <c r="D12" s="2"/>
      <c r="E12" s="2"/>
    </row>
    <row r="13" spans="1:13" x14ac:dyDescent="0.3">
      <c r="C13" s="2"/>
      <c r="D13" s="2"/>
      <c r="E13" s="2"/>
    </row>
    <row r="14" spans="1:13" x14ac:dyDescent="0.3">
      <c r="B14" t="s">
        <v>12</v>
      </c>
      <c r="D14" t="s">
        <v>13</v>
      </c>
    </row>
    <row r="15" spans="1:13" x14ac:dyDescent="0.3">
      <c r="B15" t="s">
        <v>14</v>
      </c>
      <c r="D15" t="s">
        <v>15</v>
      </c>
    </row>
    <row r="16" spans="1:13" x14ac:dyDescent="0.3">
      <c r="B16" t="s">
        <v>16</v>
      </c>
      <c r="D16" t="s">
        <v>17</v>
      </c>
    </row>
    <row r="18" spans="3:6" x14ac:dyDescent="0.3">
      <c r="C18" s="7" t="s">
        <v>18</v>
      </c>
    </row>
    <row r="19" spans="3:6" x14ac:dyDescent="0.3">
      <c r="C19" s="7">
        <v>0.196267677</v>
      </c>
    </row>
    <row r="20" spans="3:6" x14ac:dyDescent="0.3">
      <c r="C20" s="9">
        <v>0.236836986</v>
      </c>
    </row>
    <row r="21" spans="3:6" x14ac:dyDescent="0.3">
      <c r="C21" s="10">
        <v>7.5500000000000003E-4</v>
      </c>
    </row>
    <row r="24" spans="3:6" x14ac:dyDescent="0.3">
      <c r="C24" s="11" t="s">
        <v>19</v>
      </c>
      <c r="D24" s="11"/>
      <c r="E24" s="11"/>
      <c r="F24" s="11"/>
    </row>
    <row r="25" spans="3:6" ht="28.8" x14ac:dyDescent="0.3">
      <c r="C25" s="6" t="s">
        <v>20</v>
      </c>
      <c r="D25" s="7" t="s">
        <v>21</v>
      </c>
      <c r="E25" s="7" t="s">
        <v>22</v>
      </c>
      <c r="F25" s="7" t="s">
        <v>23</v>
      </c>
    </row>
    <row r="26" spans="3:6" x14ac:dyDescent="0.3">
      <c r="C26" s="6">
        <v>1</v>
      </c>
      <c r="D26" s="7">
        <v>4275.014956</v>
      </c>
      <c r="E26" s="7">
        <v>4397.1750099999999</v>
      </c>
      <c r="F26" s="7">
        <v>5655.7203250000002</v>
      </c>
    </row>
    <row r="27" spans="3:6" x14ac:dyDescent="0.3">
      <c r="C27" s="8">
        <v>2</v>
      </c>
      <c r="D27" s="9">
        <v>4268.6602650000004</v>
      </c>
      <c r="E27" s="9">
        <v>4826.4580130000004</v>
      </c>
      <c r="F27" s="9">
        <v>5765.5150839999997</v>
      </c>
    </row>
    <row r="28" spans="3:6" x14ac:dyDescent="0.3">
      <c r="C28" s="7" t="s">
        <v>7</v>
      </c>
      <c r="D28" s="7">
        <v>5891.8</v>
      </c>
      <c r="E28" s="7">
        <v>7395.6</v>
      </c>
      <c r="F28" s="7">
        <v>7592</v>
      </c>
    </row>
    <row r="30" spans="3:6" x14ac:dyDescent="0.3">
      <c r="C30" s="11" t="s">
        <v>24</v>
      </c>
      <c r="D30" s="11"/>
      <c r="E30" s="11"/>
      <c r="F30" s="11"/>
    </row>
    <row r="31" spans="3:6" ht="28.8" x14ac:dyDescent="0.3">
      <c r="C31" s="6" t="s">
        <v>20</v>
      </c>
      <c r="D31" s="7" t="s">
        <v>21</v>
      </c>
      <c r="E31" s="7" t="s">
        <v>22</v>
      </c>
      <c r="F31" s="7" t="s">
        <v>23</v>
      </c>
    </row>
    <row r="32" spans="3:6" x14ac:dyDescent="0.3">
      <c r="C32" s="6">
        <v>1</v>
      </c>
      <c r="D32" s="7">
        <v>4394</v>
      </c>
      <c r="E32" s="7">
        <v>5543</v>
      </c>
      <c r="F32" s="7" t="s">
        <v>25</v>
      </c>
    </row>
    <row r="33" spans="3:6" x14ac:dyDescent="0.3">
      <c r="C33" s="8">
        <v>2</v>
      </c>
      <c r="D33" s="9">
        <v>4517</v>
      </c>
      <c r="E33" s="9">
        <v>5906</v>
      </c>
      <c r="F33" s="9" t="s">
        <v>25</v>
      </c>
    </row>
    <row r="34" spans="3:6" x14ac:dyDescent="0.3">
      <c r="C34" s="7" t="s">
        <v>7</v>
      </c>
      <c r="D34" s="7">
        <v>4734</v>
      </c>
      <c r="E34" s="7">
        <v>7993</v>
      </c>
      <c r="F34" s="7" t="s">
        <v>25</v>
      </c>
    </row>
  </sheetData>
  <mergeCells count="6">
    <mergeCell ref="C30:F30"/>
    <mergeCell ref="C2:G2"/>
    <mergeCell ref="I2:M2"/>
    <mergeCell ref="C24:F24"/>
    <mergeCell ref="C3:G3"/>
    <mergeCell ref="I3:M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66be5-9e5b-49ea-830e-c3586f171442">
      <Terms xmlns="http://schemas.microsoft.com/office/infopath/2007/PartnerControls"/>
    </lcf76f155ced4ddcb4097134ff3c332f>
    <TaxCatchAll xmlns="6dc8fb01-f6ac-4ecd-a25a-8d452a3cf3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4B6AAECD29947BED8CD108D44ADB4" ma:contentTypeVersion="12" ma:contentTypeDescription="Create a new document." ma:contentTypeScope="" ma:versionID="c54ad75eea930d2a7c5988157f14b0a6">
  <xsd:schema xmlns:xsd="http://www.w3.org/2001/XMLSchema" xmlns:xs="http://www.w3.org/2001/XMLSchema" xmlns:p="http://schemas.microsoft.com/office/2006/metadata/properties" xmlns:ns2="1e566be5-9e5b-49ea-830e-c3586f171442" xmlns:ns3="6dc8fb01-f6ac-4ecd-a25a-8d452a3cf383" targetNamespace="http://schemas.microsoft.com/office/2006/metadata/properties" ma:root="true" ma:fieldsID="46ef242d8a1712f0ac8862278a9c3393" ns2:_="" ns3:_="">
    <xsd:import namespace="1e566be5-9e5b-49ea-830e-c3586f171442"/>
    <xsd:import namespace="6dc8fb01-f6ac-4ecd-a25a-8d452a3cf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66be5-9e5b-49ea-830e-c3586f1714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8fb01-f6ac-4ecd-a25a-8d452a3cf3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354976-7b36-43c9-a584-8492a3d23a9f}" ma:internalName="TaxCatchAll" ma:showField="CatchAllData" ma:web="6dc8fb01-f6ac-4ecd-a25a-8d452a3cf3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18BF4-6430-47AD-9142-9FDAF8309ADE}">
  <ds:schemaRefs>
    <ds:schemaRef ds:uri="http://purl.org/dc/terms/"/>
    <ds:schemaRef ds:uri="6dc8fb01-f6ac-4ecd-a25a-8d452a3cf383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1e566be5-9e5b-49ea-830e-c3586f17144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D90AF77-558F-484F-98AB-62F503B0B2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F0A5BC-A2A4-4A6A-BD71-88F7D83CB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66be5-9e5b-49ea-830e-c3586f171442"/>
    <ds:schemaRef ds:uri="6dc8fb01-f6ac-4ecd-a25a-8d452a3cf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Aubrey Anne Perez</cp:lastModifiedBy>
  <cp:revision/>
  <dcterms:created xsi:type="dcterms:W3CDTF">2026-05-20T00:08:26Z</dcterms:created>
  <dcterms:modified xsi:type="dcterms:W3CDTF">2026-06-05T01:25:32Z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0x0101004A64B6AAECD29947BED8CD108D44ADB4</vt:lpwstr>
  </property>
  <property fmtid="{D5CDD505-2E9C-101B-9397-08002B2CF9AE}" pid="3" name="MediaServiceImageTags">
    <vt:lpwstr/>
  </property>
</Properties>
</file>